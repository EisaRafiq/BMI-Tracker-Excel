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a552bbdafdbf92/Documents/python_projects/"/>
    </mc:Choice>
  </mc:AlternateContent>
  <xr:revisionPtr revIDLastSave="1" documentId="8_{D7888741-DF12-416D-88D7-68320F64D643}" xr6:coauthVersionLast="47" xr6:coauthVersionMax="47" xr10:uidLastSave="{E301B496-9169-4BBB-8752-5F433BE8FE27}"/>
  <bookViews>
    <workbookView xWindow="-108" yWindow="-108" windowWidth="30936" windowHeight="16776" xr2:uid="{53CEB8A1-CDAF-48B1-A5BA-15655D248036}"/>
  </bookViews>
  <sheets>
    <sheet name="Sheet1" sheetId="1" r:id="rId1"/>
    <sheet name="xlookup 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N2" i="1"/>
  <c r="K12" i="1"/>
  <c r="J2" i="1"/>
  <c r="K2" i="1"/>
  <c r="K3" i="1"/>
  <c r="K4" i="1"/>
  <c r="K5" i="1"/>
  <c r="K6" i="1"/>
  <c r="K7" i="1"/>
  <c r="K8" i="1"/>
  <c r="K9" i="1"/>
  <c r="K10" i="1"/>
  <c r="K11" i="1"/>
  <c r="J3" i="1"/>
  <c r="J4" i="1"/>
  <c r="J5" i="1"/>
  <c r="J6" i="1"/>
  <c r="J7" i="1"/>
  <c r="J8" i="1"/>
  <c r="J9" i="1"/>
  <c r="J10" i="1"/>
  <c r="J11" i="1"/>
  <c r="O2" i="1" l="1"/>
  <c r="E3" i="1" l="1"/>
  <c r="M3" i="1" s="1"/>
  <c r="N3" i="1" s="1"/>
  <c r="F3" i="1" l="1"/>
  <c r="O3" i="1"/>
  <c r="E4" i="1"/>
  <c r="M4" i="1" s="1"/>
  <c r="N4" i="1" s="1"/>
  <c r="O4" i="1" l="1"/>
  <c r="E5" i="1"/>
  <c r="M5" i="1" s="1"/>
  <c r="N5" i="1" s="1"/>
  <c r="F4" i="1"/>
  <c r="O5" i="1" l="1"/>
  <c r="E6" i="1"/>
  <c r="M6" i="1" s="1"/>
  <c r="N6" i="1" s="1"/>
  <c r="F5" i="1"/>
  <c r="O6" i="1" l="1"/>
  <c r="E7" i="1"/>
  <c r="M7" i="1" s="1"/>
  <c r="N7" i="1" s="1"/>
  <c r="F6" i="1"/>
  <c r="O7" i="1" l="1"/>
  <c r="E8" i="1"/>
  <c r="M8" i="1" s="1"/>
  <c r="N8" i="1" s="1"/>
  <c r="F7" i="1"/>
  <c r="O8" i="1" l="1"/>
  <c r="E9" i="1"/>
  <c r="M9" i="1" s="1"/>
  <c r="N9" i="1" s="1"/>
  <c r="F8" i="1"/>
  <c r="O9" i="1" l="1"/>
  <c r="E10" i="1"/>
  <c r="M10" i="1" s="1"/>
  <c r="N10" i="1" s="1"/>
  <c r="F9" i="1"/>
  <c r="O10" i="1" l="1"/>
  <c r="E11" i="1"/>
  <c r="F10" i="1"/>
  <c r="M11" i="1" l="1"/>
  <c r="N11" i="1" s="1"/>
  <c r="O11" i="1"/>
  <c r="F11" i="1"/>
  <c r="M12" i="1" l="1"/>
  <c r="N12" i="1"/>
</calcChain>
</file>

<file path=xl/sharedStrings.xml><?xml version="1.0" encoding="utf-8"?>
<sst xmlns="http://schemas.openxmlformats.org/spreadsheetml/2006/main" count="68" uniqueCount="29">
  <si>
    <t>name</t>
  </si>
  <si>
    <t>age</t>
  </si>
  <si>
    <t>height (m)</t>
  </si>
  <si>
    <t>gender</t>
  </si>
  <si>
    <t>starting weight in (kg)</t>
  </si>
  <si>
    <t>current BMI</t>
  </si>
  <si>
    <t>activity</t>
  </si>
  <si>
    <t>diet plan</t>
  </si>
  <si>
    <t>calories consumed</t>
  </si>
  <si>
    <t>weeks on diet</t>
  </si>
  <si>
    <t>new weight</t>
  </si>
  <si>
    <t>new BMI</t>
  </si>
  <si>
    <t>BMI category</t>
  </si>
  <si>
    <t>zak taylor</t>
  </si>
  <si>
    <t>male</t>
  </si>
  <si>
    <t>kickboxing</t>
  </si>
  <si>
    <t>high calorie</t>
  </si>
  <si>
    <t>running</t>
  </si>
  <si>
    <t>low calorie</t>
  </si>
  <si>
    <t>swimming</t>
  </si>
  <si>
    <t>average calorie</t>
  </si>
  <si>
    <t>weight training</t>
  </si>
  <si>
    <t>karate</t>
  </si>
  <si>
    <t>Activity</t>
  </si>
  <si>
    <t xml:space="preserve">calories burned per hour </t>
  </si>
  <si>
    <t>weekly calories</t>
  </si>
  <si>
    <t>time of activity done in a week (in hours)</t>
    <phoneticPr fontId="2" type="noConversion"/>
  </si>
  <si>
    <t>calories burned</t>
    <phoneticPr fontId="2" type="noConversion"/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</si>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</sst>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name val="Aptos Narrow"/>
      <family val="3"/>
      <charset val="136"/>
      <scheme val="minor"/>
    </font>
    <font>
      <sz val="14"/>
      <color theme="1"/>
      <name val="Aptos Narrow"/>
      <family val="2"/>
      <scheme val="minor"/>
    </font>
    <font>
      <sz val="14"/>
      <color theme="1"/>
      <name val="Aptos Body"/>
    </font>
    <font>
      <sz val="14"/>
      <color theme="1"/>
      <name val="Aptos Body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2" borderId="0" xfId="0" applyFont="1" applyFill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  <fill>
        <patternFill patternType="solid">
          <fgColor indexed="64"/>
          <bgColor theme="9" tint="0.3999755851924192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Body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Body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</font>
    </dxf>
    <dxf>
      <font>
        <strike val="0"/>
        <outline val="0"/>
        <shadow val="0"/>
        <u val="none"/>
        <vertAlign val="baseline"/>
        <sz val="14"/>
        <color theme="1"/>
      </font>
    </dxf>
    <dxf>
      <font>
        <strike val="0"/>
        <outline val="0"/>
        <shadow val="0"/>
        <u val="none"/>
        <vertAlign val="baseline"/>
        <sz val="14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BE01C-4C44-46C8-ABC2-8E62E01449BF}" name="Table1" displayName="Table1" ref="A1:O12" totalsRowCount="1" headerRowDxfId="32" dataDxfId="31" totalsRowDxfId="30">
  <autoFilter ref="A1:O11" xr:uid="{099BE01C-4C44-46C8-ABC2-8E62E01449BF}"/>
  <tableColumns count="15">
    <tableColumn id="1" xr3:uid="{5C86DD4D-4680-445C-AB7C-B898472E71DD}" name="name" dataDxfId="29" totalsRowDxfId="28"/>
    <tableColumn id="2" xr3:uid="{8FF7073B-D297-4FC7-9188-C524C0CFD694}" name="age" dataDxfId="27" totalsRowDxfId="26"/>
    <tableColumn id="3" xr3:uid="{A37C47A2-63A9-47C1-BDBC-24B0475D7375}" name="height (m)" dataDxfId="25" totalsRowDxfId="24"/>
    <tableColumn id="4" xr3:uid="{81E3139D-BC08-4FB7-9566-B9D83AF53E42}" name="gender" dataDxfId="23" totalsRowDxfId="22"/>
    <tableColumn id="5" xr3:uid="{52444AA0-261E-4C57-A151-E194681C4AE4}" name="starting weight in (kg)" dataDxfId="21" totalsRowDxfId="20"/>
    <tableColumn id="6" xr3:uid="{F9A8D2CE-4889-4CCB-BD55-2693A01FCF62}" name="current BMI" dataDxfId="19" totalsRowDxfId="18"/>
    <tableColumn id="7" xr3:uid="{BFFDAB38-6E35-46F5-BC60-1E96E49A14A3}" name="activity" dataDxfId="17" totalsRowDxfId="16"/>
    <tableColumn id="8" xr3:uid="{1002F360-7AF2-43E8-9434-8FF1B039C8CF}" name="time of activity done in a week (in hours)" dataDxfId="15" totalsRowDxfId="14"/>
    <tableColumn id="9" xr3:uid="{B620E831-0C37-4ED1-99FF-5FD7DC05C836}" name="diet plan" dataDxfId="13" totalsRowDxfId="12"/>
    <tableColumn id="10" xr3:uid="{BFB02B31-7D85-45C5-8963-DBD8D8AC460E}" name="calories consumed" totalsRowLabel="  " dataDxfId="11" totalsRowDxfId="4">
      <calculatedColumnFormula>_xlfn.XLOOKUP(Table1[[#This Row],[diet plan]],Table3[diet plan],Table3[weekly calories])</calculatedColumnFormula>
    </tableColumn>
    <tableColumn id="11" xr3:uid="{4B64837C-F2D0-4D54-90B6-37E1C095087B}" name="calories burned" totalsRowFunction="custom" dataDxfId="10" totalsRowDxfId="3">
      <calculatedColumnFormula>_xlfn.XLOOKUP(Table1[[#This Row],[activity]],Table2[Activity],Table2[[calories burned per hour ]])*Table1[[#This Row],[time of activity done in a week (in hours)]]</calculatedColumnFormula>
      <totalsRowFormula>SUM(Table1[calories burned])</totalsRowFormula>
    </tableColumn>
    <tableColumn id="12" xr3:uid="{82CF8A41-05B3-4208-AB81-B955BE88E9B0}" name="weeks on diet" dataDxfId="9" totalsRowDxfId="8"/>
    <tableColumn id="14" xr3:uid="{CBA3B92E-AAD5-407A-AE28-FCB28DDD587C}" name="new weight" totalsRowFunction="custom" dataDxfId="7" totalsRowDxfId="2">
      <calculatedColumnFormula>E2+(((J2-K2)*L2)/7700)</calculatedColumnFormula>
      <totalsRowFormula>M2-M11</totalsRowFormula>
    </tableColumn>
    <tableColumn id="13" xr3:uid="{3EB4D87E-F1B6-41F1-9B35-8C8C2FB49194}" name="new BMI" totalsRowFunction="custom" dataDxfId="6" totalsRowDxfId="1">
      <calculatedColumnFormula>M2/(C2^2)</calculatedColumnFormula>
      <totalsRowFormula>N2-N11</totalsRowFormula>
    </tableColumn>
    <tableColumn id="17" xr3:uid="{6159A098-0E0A-44E2-910F-32BAFF8C4477}" name="BMI category" dataDxfId="5" totalsRowDxfId="0">
      <calculatedColumnFormula>IF(N2&lt;18.5,"underweight",IF(N2&lt;25, "healthyweight",IF(N2&lt;30,"overweight", "obese")))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6D9035-F2E3-41EF-AE44-1AF35FECDC2A}" name="Table2" displayName="Table2" ref="A1:B6" totalsRowShown="0">
  <autoFilter ref="A1:B6" xr:uid="{9F6D9035-F2E3-41EF-AE44-1AF35FECDC2A}"/>
  <tableColumns count="2">
    <tableColumn id="1" xr3:uid="{30F54ECF-11E0-4ED4-8AEB-15E800C7823E}" name="Activity"/>
    <tableColumn id="2" xr3:uid="{0F952EA9-B9DA-4B2A-A35D-84E59826E000}" name="calories burned per hour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CC493-0EE5-436A-BA77-CE913528EC53}" name="Table3" displayName="Table3" ref="D1:E4" totalsRowShown="0">
  <autoFilter ref="D1:E4" xr:uid="{F53CC493-0EE5-436A-BA77-CE913528EC53}"/>
  <tableColumns count="2">
    <tableColumn id="1" xr3:uid="{EDF930DF-7C3F-4307-B169-3F45C4A1405A}" name="diet plan"/>
    <tableColumn id="2" xr3:uid="{1784B07D-93C6-4CE3-B2E4-67FA8ADEE230}" name="weekly calo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B36D-2E21-486B-A00F-334D41E13A60}">
  <dimension ref="A1:O12"/>
  <sheetViews>
    <sheetView tabSelected="1" topLeftCell="C1" zoomScaleNormal="91" workbookViewId="0">
      <selection activeCell="K12" sqref="K12"/>
    </sheetView>
  </sheetViews>
  <sheetFormatPr defaultRowHeight="14.4"/>
  <cols>
    <col min="1" max="1" width="17.109375" customWidth="1"/>
    <col min="2" max="2" width="12.5546875" customWidth="1"/>
    <col min="3" max="3" width="17" bestFit="1" customWidth="1"/>
    <col min="4" max="4" width="20.44140625" bestFit="1" customWidth="1"/>
    <col min="5" max="5" width="27.109375" customWidth="1"/>
    <col min="6" max="6" width="15.33203125" bestFit="1" customWidth="1"/>
    <col min="7" max="7" width="12.88671875" customWidth="1"/>
    <col min="8" max="8" width="50.33203125" customWidth="1"/>
    <col min="9" max="9" width="14.5546875" customWidth="1"/>
    <col min="10" max="10" width="25" customWidth="1"/>
    <col min="11" max="11" width="21" customWidth="1"/>
    <col min="12" max="12" width="20.44140625" customWidth="1"/>
    <col min="13" max="13" width="18" customWidth="1"/>
    <col min="14" max="14" width="12.88671875" customWidth="1"/>
    <col min="15" max="15" width="19.33203125" customWidth="1"/>
  </cols>
  <sheetData>
    <row r="1" spans="1:15" ht="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26</v>
      </c>
      <c r="I1" s="3" t="s">
        <v>7</v>
      </c>
      <c r="J1" s="4" t="s">
        <v>8</v>
      </c>
      <c r="K1" s="4" t="s">
        <v>27</v>
      </c>
      <c r="L1" s="3" t="s">
        <v>9</v>
      </c>
      <c r="M1" s="4" t="s">
        <v>10</v>
      </c>
      <c r="N1" s="4" t="s">
        <v>11</v>
      </c>
      <c r="O1" s="4" t="s">
        <v>12</v>
      </c>
    </row>
    <row r="2" spans="1:15" ht="17.399999999999999">
      <c r="A2" s="5" t="s">
        <v>13</v>
      </c>
      <c r="B2" s="5">
        <v>17</v>
      </c>
      <c r="C2" s="5">
        <v>1.8</v>
      </c>
      <c r="D2" s="5" t="s">
        <v>14</v>
      </c>
      <c r="E2" s="5">
        <v>90</v>
      </c>
      <c r="F2" s="5">
        <v>25</v>
      </c>
      <c r="G2" s="5" t="s">
        <v>15</v>
      </c>
      <c r="H2" s="5">
        <v>10</v>
      </c>
      <c r="I2" s="5" t="s">
        <v>16</v>
      </c>
      <c r="J2" s="6">
        <f>_xlfn.XLOOKUP(Table1[[#This Row],[diet plan]],Table3[diet plan],Table3[weekly calories])</f>
        <v>18000</v>
      </c>
      <c r="K2" s="6">
        <f>_xlfn.XLOOKUP(Table1[[#This Row],[activity]],Table2[Activity],Table2[[calories burned per hour ]])*Table1[[#This Row],[time of activity done in a week (in hours)]]</f>
        <v>8000</v>
      </c>
      <c r="L2" s="5">
        <v>1</v>
      </c>
      <c r="M2" s="6">
        <f t="shared" ref="M2" si="0">E2+(((J2-K2)*L2)/7700)</f>
        <v>91.298701298701303</v>
      </c>
      <c r="N2" s="6">
        <f t="shared" ref="N2" si="1">M2/(C2^2)</f>
        <v>28.178611511944844</v>
      </c>
      <c r="O2" s="6" t="str">
        <f t="shared" ref="O2" si="2">IF(N2&lt;18.5,"underweight",IF(N2&lt;25, "healthyweight",IF(N2&lt;30,"overweight", "obese")))</f>
        <v>overweight</v>
      </c>
    </row>
    <row r="3" spans="1:15" ht="17.399999999999999">
      <c r="A3" s="5" t="s">
        <v>13</v>
      </c>
      <c r="B3" s="5">
        <v>17</v>
      </c>
      <c r="C3" s="5">
        <v>1.8</v>
      </c>
      <c r="D3" s="5" t="s">
        <v>14</v>
      </c>
      <c r="E3" s="5">
        <f t="shared" ref="E3:E11" si="3">M2</f>
        <v>91.298701298701303</v>
      </c>
      <c r="F3" s="5">
        <f t="shared" ref="F3:F11" si="4">N2</f>
        <v>28.178611511944844</v>
      </c>
      <c r="G3" s="5" t="s">
        <v>17</v>
      </c>
      <c r="H3" s="5">
        <v>20</v>
      </c>
      <c r="I3" s="5" t="s">
        <v>18</v>
      </c>
      <c r="J3" s="6">
        <f>_xlfn.XLOOKUP(Table1[[#This Row],[diet plan]],Table3[diet plan],Table3[weekly calories])</f>
        <v>12000</v>
      </c>
      <c r="K3" s="6">
        <f>_xlfn.XLOOKUP(Table1[[#This Row],[activity]],Table2[Activity],Table2[[calories burned per hour ]])*Table1[[#This Row],[time of activity done in a week (in hours)]]</f>
        <v>12000</v>
      </c>
      <c r="L3" s="5">
        <v>2</v>
      </c>
      <c r="M3" s="6">
        <f t="shared" ref="M3:M11" si="5">E3+(((J3-K3)*L3)/7700)</f>
        <v>91.298701298701303</v>
      </c>
      <c r="N3" s="6">
        <f t="shared" ref="N3:N11" si="6">M3/(C3^2)</f>
        <v>28.178611511944844</v>
      </c>
      <c r="O3" s="6" t="str">
        <f t="shared" ref="O3:O10" si="7">IF(N3&lt;18.5,"underweight",IF(N3&lt;25, "healthyweight",IF(N3&lt;30,"overweight", "obese")))</f>
        <v>overweight</v>
      </c>
    </row>
    <row r="4" spans="1:15" ht="17.399999999999999">
      <c r="A4" s="5" t="s">
        <v>13</v>
      </c>
      <c r="B4" s="5">
        <v>17</v>
      </c>
      <c r="C4" s="5">
        <v>1.8</v>
      </c>
      <c r="D4" s="5" t="s">
        <v>14</v>
      </c>
      <c r="E4" s="5">
        <f t="shared" si="3"/>
        <v>91.298701298701303</v>
      </c>
      <c r="F4" s="5">
        <f t="shared" si="4"/>
        <v>28.178611511944844</v>
      </c>
      <c r="G4" s="5" t="s">
        <v>19</v>
      </c>
      <c r="H4" s="5">
        <v>26</v>
      </c>
      <c r="I4" s="5" t="s">
        <v>20</v>
      </c>
      <c r="J4" s="6">
        <f>_xlfn.XLOOKUP(Table1[[#This Row],[diet plan]],Table3[diet plan],Table3[weekly calories])</f>
        <v>14000</v>
      </c>
      <c r="K4" s="6">
        <f>_xlfn.XLOOKUP(Table1[[#This Row],[activity]],Table2[Activity],Table2[[calories burned per hour ]])*Table1[[#This Row],[time of activity done in a week (in hours)]]</f>
        <v>13000</v>
      </c>
      <c r="L4" s="5">
        <v>3</v>
      </c>
      <c r="M4" s="6">
        <f t="shared" si="5"/>
        <v>91.6883116883117</v>
      </c>
      <c r="N4" s="6">
        <f t="shared" si="6"/>
        <v>28.298861632194967</v>
      </c>
      <c r="O4" s="6" t="str">
        <f t="shared" si="7"/>
        <v>overweight</v>
      </c>
    </row>
    <row r="5" spans="1:15" ht="17.399999999999999">
      <c r="A5" s="5" t="s">
        <v>13</v>
      </c>
      <c r="B5" s="5">
        <v>17</v>
      </c>
      <c r="C5" s="5">
        <v>1.8</v>
      </c>
      <c r="D5" s="5" t="s">
        <v>14</v>
      </c>
      <c r="E5" s="5">
        <f t="shared" si="3"/>
        <v>91.6883116883117</v>
      </c>
      <c r="F5" s="5">
        <f t="shared" si="4"/>
        <v>28.298861632194967</v>
      </c>
      <c r="G5" s="5" t="s">
        <v>15</v>
      </c>
      <c r="H5" s="5">
        <v>26</v>
      </c>
      <c r="I5" s="5" t="s">
        <v>18</v>
      </c>
      <c r="J5" s="6">
        <f>_xlfn.XLOOKUP(Table1[[#This Row],[diet plan]],Table3[diet plan],Table3[weekly calories])</f>
        <v>12000</v>
      </c>
      <c r="K5" s="6">
        <f>_xlfn.XLOOKUP(Table1[[#This Row],[activity]],Table2[Activity],Table2[[calories burned per hour ]])*Table1[[#This Row],[time of activity done in a week (in hours)]]</f>
        <v>20800</v>
      </c>
      <c r="L5" s="5">
        <v>4</v>
      </c>
      <c r="M5" s="6">
        <f t="shared" si="5"/>
        <v>87.11688311688313</v>
      </c>
      <c r="N5" s="6">
        <f t="shared" si="6"/>
        <v>26.887926887926891</v>
      </c>
      <c r="O5" s="6" t="str">
        <f t="shared" si="7"/>
        <v>overweight</v>
      </c>
    </row>
    <row r="6" spans="1:15" ht="17.399999999999999">
      <c r="A6" s="5" t="s">
        <v>13</v>
      </c>
      <c r="B6" s="5">
        <v>17</v>
      </c>
      <c r="C6" s="5">
        <v>1.8</v>
      </c>
      <c r="D6" s="5" t="s">
        <v>14</v>
      </c>
      <c r="E6" s="5">
        <f>M5</f>
        <v>87.11688311688313</v>
      </c>
      <c r="F6" s="5">
        <f>N5</f>
        <v>26.887926887926891</v>
      </c>
      <c r="G6" s="5" t="s">
        <v>21</v>
      </c>
      <c r="H6" s="5">
        <v>25</v>
      </c>
      <c r="I6" s="5" t="s">
        <v>20</v>
      </c>
      <c r="J6" s="6">
        <f>_xlfn.XLOOKUP(Table1[[#This Row],[diet plan]],Table3[diet plan],Table3[weekly calories])</f>
        <v>14000</v>
      </c>
      <c r="K6" s="6">
        <f>_xlfn.XLOOKUP(Table1[[#This Row],[activity]],Table2[Activity],Table2[[calories burned per hour ]])*Table1[[#This Row],[time of activity done in a week (in hours)]]</f>
        <v>10000</v>
      </c>
      <c r="L6" s="5">
        <v>5</v>
      </c>
      <c r="M6" s="6">
        <f t="shared" si="5"/>
        <v>89.714285714285722</v>
      </c>
      <c r="N6" s="6">
        <f t="shared" si="6"/>
        <v>27.689594356261022</v>
      </c>
      <c r="O6" s="6" t="str">
        <f t="shared" si="7"/>
        <v>overweight</v>
      </c>
    </row>
    <row r="7" spans="1:15" ht="17.399999999999999">
      <c r="A7" s="5" t="s">
        <v>13</v>
      </c>
      <c r="B7" s="5">
        <v>17</v>
      </c>
      <c r="C7" s="5">
        <v>1.8</v>
      </c>
      <c r="D7" s="5" t="s">
        <v>14</v>
      </c>
      <c r="E7" s="5">
        <f>M6</f>
        <v>89.714285714285722</v>
      </c>
      <c r="F7" s="5">
        <f>N6</f>
        <v>27.689594356261022</v>
      </c>
      <c r="G7" s="5" t="s">
        <v>22</v>
      </c>
      <c r="H7" s="5">
        <v>24</v>
      </c>
      <c r="I7" s="5" t="s">
        <v>18</v>
      </c>
      <c r="J7" s="6">
        <f>_xlfn.XLOOKUP(Table1[[#This Row],[diet plan]],Table3[diet plan],Table3[weekly calories])</f>
        <v>12000</v>
      </c>
      <c r="K7" s="6">
        <f>_xlfn.XLOOKUP(Table1[[#This Row],[activity]],Table2[Activity],Table2[[calories burned per hour ]])*Table1[[#This Row],[time of activity done in a week (in hours)]]</f>
        <v>16800</v>
      </c>
      <c r="L7" s="5">
        <v>6</v>
      </c>
      <c r="M7" s="6">
        <f t="shared" si="5"/>
        <v>85.974025974025977</v>
      </c>
      <c r="N7" s="6">
        <f t="shared" si="6"/>
        <v>26.535193201859869</v>
      </c>
      <c r="O7" s="6" t="str">
        <f t="shared" si="7"/>
        <v>overweight</v>
      </c>
    </row>
    <row r="8" spans="1:15" ht="17.399999999999999">
      <c r="A8" s="5" t="s">
        <v>13</v>
      </c>
      <c r="B8" s="5">
        <v>17</v>
      </c>
      <c r="C8" s="5">
        <v>1.8</v>
      </c>
      <c r="D8" s="5" t="s">
        <v>14</v>
      </c>
      <c r="E8" s="5">
        <f t="shared" si="3"/>
        <v>85.974025974025977</v>
      </c>
      <c r="F8" s="5">
        <f t="shared" si="4"/>
        <v>26.535193201859869</v>
      </c>
      <c r="G8" s="5" t="s">
        <v>17</v>
      </c>
      <c r="H8" s="5">
        <v>26</v>
      </c>
      <c r="I8" s="5" t="s">
        <v>18</v>
      </c>
      <c r="J8" s="6">
        <f>_xlfn.XLOOKUP(Table1[[#This Row],[diet plan]],Table3[diet plan],Table3[weekly calories])</f>
        <v>12000</v>
      </c>
      <c r="K8" s="6">
        <f>_xlfn.XLOOKUP(Table1[[#This Row],[activity]],Table2[Activity],Table2[[calories burned per hour ]])*Table1[[#This Row],[time of activity done in a week (in hours)]]</f>
        <v>15600</v>
      </c>
      <c r="L8" s="5">
        <v>7</v>
      </c>
      <c r="M8" s="6">
        <f t="shared" si="5"/>
        <v>82.701298701298711</v>
      </c>
      <c r="N8" s="6">
        <f t="shared" si="6"/>
        <v>25.525092191758858</v>
      </c>
      <c r="O8" s="6" t="str">
        <f t="shared" si="7"/>
        <v>overweight</v>
      </c>
    </row>
    <row r="9" spans="1:15" ht="17.399999999999999">
      <c r="A9" s="5" t="s">
        <v>13</v>
      </c>
      <c r="B9" s="5">
        <v>17</v>
      </c>
      <c r="C9" s="5">
        <v>1.8</v>
      </c>
      <c r="D9" s="5" t="s">
        <v>14</v>
      </c>
      <c r="E9" s="5">
        <f t="shared" si="3"/>
        <v>82.701298701298711</v>
      </c>
      <c r="F9" s="5">
        <f t="shared" si="4"/>
        <v>25.525092191758858</v>
      </c>
      <c r="G9" s="5" t="s">
        <v>17</v>
      </c>
      <c r="H9" s="5">
        <v>23</v>
      </c>
      <c r="I9" s="5" t="s">
        <v>18</v>
      </c>
      <c r="J9" s="6">
        <f>_xlfn.XLOOKUP(Table1[[#This Row],[diet plan]],Table3[diet plan],Table3[weekly calories])</f>
        <v>12000</v>
      </c>
      <c r="K9" s="6">
        <f>_xlfn.XLOOKUP(Table1[[#This Row],[activity]],Table2[Activity],Table2[[calories burned per hour ]])*Table1[[#This Row],[time of activity done in a week (in hours)]]</f>
        <v>13800</v>
      </c>
      <c r="L9" s="5">
        <v>8</v>
      </c>
      <c r="M9" s="6">
        <f t="shared" si="5"/>
        <v>80.831168831168839</v>
      </c>
      <c r="N9" s="6">
        <f t="shared" si="6"/>
        <v>24.947891614558284</v>
      </c>
      <c r="O9" s="6" t="str">
        <f t="shared" si="7"/>
        <v>healthyweight</v>
      </c>
    </row>
    <row r="10" spans="1:15" ht="17.399999999999999">
      <c r="A10" s="5" t="s">
        <v>13</v>
      </c>
      <c r="B10" s="5">
        <v>17</v>
      </c>
      <c r="C10" s="5">
        <v>1.8</v>
      </c>
      <c r="D10" s="5" t="s">
        <v>14</v>
      </c>
      <c r="E10" s="5">
        <f t="shared" si="3"/>
        <v>80.831168831168839</v>
      </c>
      <c r="F10" s="5">
        <f t="shared" si="4"/>
        <v>24.947891614558284</v>
      </c>
      <c r="G10" s="5" t="s">
        <v>19</v>
      </c>
      <c r="H10" s="5">
        <v>24</v>
      </c>
      <c r="I10" s="5" t="s">
        <v>18</v>
      </c>
      <c r="J10" s="6">
        <f>_xlfn.XLOOKUP(Table1[[#This Row],[diet plan]],Table3[diet plan],Table3[weekly calories])</f>
        <v>12000</v>
      </c>
      <c r="K10" s="6">
        <f>_xlfn.XLOOKUP(Table1[[#This Row],[activity]],Table2[Activity],Table2[[calories burned per hour ]])*Table1[[#This Row],[time of activity done in a week (in hours)]]</f>
        <v>12000</v>
      </c>
      <c r="L10" s="5">
        <v>9</v>
      </c>
      <c r="M10" s="6">
        <f t="shared" si="5"/>
        <v>80.831168831168839</v>
      </c>
      <c r="N10" s="6">
        <f t="shared" si="6"/>
        <v>24.947891614558284</v>
      </c>
      <c r="O10" s="6" t="str">
        <f t="shared" si="7"/>
        <v>healthyweight</v>
      </c>
    </row>
    <row r="11" spans="1:15" ht="17.399999999999999">
      <c r="A11" s="5" t="s">
        <v>13</v>
      </c>
      <c r="B11" s="5">
        <v>17</v>
      </c>
      <c r="C11" s="5">
        <v>1.8</v>
      </c>
      <c r="D11" s="5" t="s">
        <v>14</v>
      </c>
      <c r="E11" s="5">
        <f t="shared" si="3"/>
        <v>80.831168831168839</v>
      </c>
      <c r="F11" s="5">
        <f t="shared" si="4"/>
        <v>24.947891614558284</v>
      </c>
      <c r="G11" s="5" t="s">
        <v>15</v>
      </c>
      <c r="H11" s="5">
        <v>23</v>
      </c>
      <c r="I11" s="5" t="s">
        <v>18</v>
      </c>
      <c r="J11" s="6">
        <f>_xlfn.XLOOKUP(Table1[[#This Row],[diet plan]],Table3[diet plan],Table3[weekly calories])</f>
        <v>12000</v>
      </c>
      <c r="K11" s="6">
        <f>_xlfn.XLOOKUP(Table1[[#This Row],[activity]],Table2[Activity],Table2[[calories burned per hour ]])*Table1[[#This Row],[time of activity done in a week (in hours)]]</f>
        <v>18400</v>
      </c>
      <c r="L11" s="5">
        <v>10</v>
      </c>
      <c r="M11" s="6">
        <f t="shared" si="5"/>
        <v>72.519480519480524</v>
      </c>
      <c r="N11" s="6">
        <f t="shared" si="6"/>
        <v>22.382555715889048</v>
      </c>
      <c r="O11" s="6" t="str">
        <f>IF(N11&lt;18.5,"underweight",IF(N11&lt;25, "healthyweight",IF(N11&lt;30,"overweight", "obese")))</f>
        <v>healthyweight</v>
      </c>
    </row>
    <row r="12" spans="1:15" ht="17.399999999999999">
      <c r="A12" s="5"/>
      <c r="B12" s="5"/>
      <c r="C12" s="5"/>
      <c r="D12" s="5"/>
      <c r="E12" s="5"/>
      <c r="F12" s="5"/>
      <c r="G12" s="5"/>
      <c r="H12" s="5"/>
      <c r="I12" s="5"/>
      <c r="J12" s="6" t="s">
        <v>28</v>
      </c>
      <c r="K12" s="6">
        <f>SUM(Table1[calories burned])</f>
        <v>140400</v>
      </c>
      <c r="L12" s="5"/>
      <c r="M12" s="6">
        <f>M2-M11</f>
        <v>18.779220779220779</v>
      </c>
      <c r="N12" s="6">
        <f>N2-N11</f>
        <v>5.7960557960557963</v>
      </c>
      <c r="O12" s="6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F96B-8EAF-48A0-8DDA-8455EDFD1B58}">
  <dimension ref="A1:E6"/>
  <sheetViews>
    <sheetView workbookViewId="0">
      <selection activeCell="B2" sqref="B2"/>
    </sheetView>
  </sheetViews>
  <sheetFormatPr defaultRowHeight="14.4"/>
  <cols>
    <col min="1" max="2" width="11.33203125" customWidth="1"/>
    <col min="4" max="5" width="11.33203125" customWidth="1"/>
  </cols>
  <sheetData>
    <row r="1" spans="1:5" ht="43.2">
      <c r="A1" s="1" t="s">
        <v>23</v>
      </c>
      <c r="B1" s="1" t="s">
        <v>24</v>
      </c>
      <c r="D1" s="1" t="s">
        <v>7</v>
      </c>
      <c r="E1" s="1" t="s">
        <v>25</v>
      </c>
    </row>
    <row r="2" spans="1:5">
      <c r="A2" s="2" t="s">
        <v>15</v>
      </c>
      <c r="B2" s="2">
        <v>800</v>
      </c>
      <c r="D2" s="2" t="s">
        <v>18</v>
      </c>
      <c r="E2" s="2">
        <v>12000</v>
      </c>
    </row>
    <row r="3" spans="1:5" ht="28.8">
      <c r="A3" s="2" t="s">
        <v>22</v>
      </c>
      <c r="B3" s="2">
        <v>700</v>
      </c>
      <c r="D3" s="2" t="s">
        <v>20</v>
      </c>
      <c r="E3" s="2">
        <v>14000</v>
      </c>
    </row>
    <row r="4" spans="1:5" ht="28.8">
      <c r="A4" s="2" t="s">
        <v>21</v>
      </c>
      <c r="B4" s="2">
        <v>400</v>
      </c>
      <c r="D4" s="2" t="s">
        <v>16</v>
      </c>
      <c r="E4" s="2">
        <v>18000</v>
      </c>
    </row>
    <row r="5" spans="1:5">
      <c r="A5" s="2" t="s">
        <v>17</v>
      </c>
      <c r="B5" s="2">
        <v>600</v>
      </c>
    </row>
    <row r="6" spans="1:5">
      <c r="A6" s="2" t="s">
        <v>19</v>
      </c>
      <c r="B6" s="2">
        <v>500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xlookup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EISA, RAFIQ</dc:creator>
  <cp:keywords/>
  <dc:description/>
  <cp:lastModifiedBy>eisa rafiq</cp:lastModifiedBy>
  <cp:revision/>
  <dcterms:created xsi:type="dcterms:W3CDTF">2026-06-03T12:09:24Z</dcterms:created>
  <dcterms:modified xsi:type="dcterms:W3CDTF">2026-09-22T13:56:33Z</dcterms:modified>
  <cp:category/>
  <cp:contentStatus/>
</cp:coreProperties>
</file>